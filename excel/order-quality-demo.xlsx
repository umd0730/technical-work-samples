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1545b58b2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cfa2c4f30444cf"/>
    <x:sheet xmlns:r="http://schemas.openxmlformats.org/officeDocument/2006/relationships" name="Source" sheetId="2" r:id="Rd50b7641d60b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43B4A"/>
      <x:name val="Arial"/>
    </x:font>
    <x:font>
      <x:b/>
      <x:sz val="16"/>
      <x:color rgb="FF17394D"/>
      <x:name val="Arial"/>
    </x:font>
    <x:font>
      <x:b/>
      <x:sz val="11"/>
      <x:color rgb="FFFFFFFF"/>
      <x:name val="Arial"/>
    </x:font>
    <x:font>
      <x:b/>
      <x:sz val="13"/>
      <x:color rgb="FF167D8D"/>
      <x:name val="Arial"/>
    </x:font>
    <x:font>
      <x:b/>
      <x:sz val="11"/>
      <x:color rgb="FF167D8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94D"/>
      </x:patternFill>
    </x:fill>
    <x:fill>
      <x:patternFill patternType="solid">
        <x:fgColor rgb="FFEDF6F7"/>
      </x:patternFill>
    </x:fill>
    <x:fill>
      <x:patternFill patternType="solid">
        <x:fgColor rgb="FFFFF6DD"/>
      </x:patternFill>
    </x:fill>
    <x:fill>
      <x:patternFill patternType="solid">
        <x:fgColor rgb="FFF1F6F8"/>
      </x:patternFill>
    </x:fill>
  </x:fills>
  <x:borders count="2">
    <x:border/>
    <x:border>
      <x:bottom style="thin">
        <x:color rgb="FF167D8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color rgb="FF7A4A00"/>
      </x:font>
      <x:fill>
        <x:patternFill patternType="solid">
          <x:bgColor rgb="FFFFF0CE"/>
        </x:patternFill>
      </x:fill>
    </x:dxf>
    <x:dxf>
      <x:font>
        <x:color rgb="FF933A25"/>
      </x:font>
      <x:fill>
        <x:patternFill patternType="solid">
          <x:bgColor rgb="FFFFE6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3d60631ab4c95" /><Relationship Type="http://schemas.openxmlformats.org/officeDocument/2006/relationships/theme" Target="/xl/theme/theme1.xml" Id="Rc9f46c2515864902" /><Relationship Type="http://schemas.openxmlformats.org/officeDocument/2006/relationships/sharedStrings" Target="/xl/sharedStrings.xml" Id="Rf4f5b5426f494a95" /><Relationship Type="http://schemas.openxmlformats.org/officeDocument/2006/relationships/worksheet" Target="/xl/worksheets/sheet1.xml" Id="R19cfa2c4f30444cf" /><Relationship Type="http://schemas.openxmlformats.org/officeDocument/2006/relationships/worksheet" Target="/xl/worksheets/sheet2.xml" Id="Rd50b7641d60b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Order quality / operations summary</x:v>
      </x:c>
      <x:c r="B2" s="3"/>
      <x:c r="C2" s="3"/>
      <x:c r="D2" s="3"/>
      <x:c r="E2" s="3"/>
      <x:c r="F2" s="3"/>
      <x:c r="G2" s="3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SELF-INITIATED DEMO  |  Synthetic data only  |  AI-assisted, executable checks</x:v>
      </x:c>
      <x:c r="B4" s="2"/>
      <x:c r="C4" s="2"/>
      <x:c r="D4" s="2"/>
      <x:c r="E4" s="2"/>
      <x:c r="F4" s="2"/>
      <x:c r="G4" s="2"/>
    </x:row>
    <x:row r="5" ht="25" customHeight="1">
      <x:c r="A5" s="2" t="str">
        <x:v>Edit Source A8:C25. Review rows stay visible and are excluded from ready totals.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25" customHeight="1">
      <x:c r="A7" s="7" t="str">
        <x:v>Source rows</x:v>
      </x:c>
      <x:c r="B7" s="7" t="str">
        <x:v>Ready rows</x:v>
      </x:c>
      <x:c r="C7" s="7" t="str">
        <x:v>Needs review</x:v>
      </x:c>
      <x:c r="D7" s="2"/>
      <x:c r="E7" s="2"/>
      <x:c r="F7" s="2"/>
      <x:c r="G7" s="2"/>
    </x:row>
    <x:row r="8" ht="34" customHeight="1">
      <x:c r="A8" s="10" t="n">
        <x:f>ROWS(Source!A8:A25)</x:f>
        <x:v>18</x:v>
      </x:c>
      <x:c r="B8" s="10" t="n">
        <x:f>COUNTIF(Source!F8:F25,"Ready")</x:f>
        <x:v>12</x:v>
      </x:c>
      <x:c r="C8" s="10" t="n">
        <x:f>A8-B8</x:f>
        <x:v>6</x:v>
      </x:c>
      <x:c r="D8" s="2"/>
      <x:c r="E8" s="2"/>
      <x:c r="F8" s="2"/>
      <x:c r="G8" s="2"/>
    </x:row>
    <x:row r="9" ht="25" customHeight="1">
      <x:c r="A9" s="2"/>
      <x:c r="B9" s="2"/>
      <x:c r="C9" s="2"/>
      <x:c r="D9" s="2"/>
      <x:c r="E9" s="2"/>
      <x:c r="F9" s="2"/>
      <x:c r="G9" s="2"/>
    </x:row>
    <x:row r="10" ht="25" customHeight="1">
      <x:c r="A10" s="11" t="str">
        <x:v>Ready units</x:v>
      </x:c>
      <x:c r="B10" s="16" t="n">
        <x:f>SUM(Source!G8:G25)</x:f>
        <x:v>77</x:v>
      </x:c>
      <x:c r="C10" s="17"/>
      <x:c r="D10" s="2"/>
      <x:c r="E10" s="2"/>
      <x:c r="F10" s="2"/>
      <x:c r="G10" s="2"/>
    </x:row>
    <x:row r="11" ht="25" customHeight="1">
      <x:c r="A11" s="2"/>
      <x:c r="B11" s="17"/>
      <x:c r="C11" s="17"/>
      <x:c r="D11" s="2"/>
      <x:c r="E11" s="2"/>
      <x:c r="F11" s="2"/>
      <x:c r="G11" s="2"/>
    </x:row>
    <x:row r="12" ht="25" customHeight="1">
      <x:c r="A12" s="2"/>
      <x:c r="B12" s="17"/>
      <x:c r="C12" s="17"/>
      <x:c r="D12" s="2"/>
      <x:c r="E12" s="2"/>
      <x:c r="F12" s="2"/>
      <x:c r="G12" s="2"/>
    </x:row>
    <x:row r="13" ht="25" customHeight="1">
      <x:c r="A13" s="7" t="str">
        <x:v>Team</x:v>
      </x:c>
      <x:c r="B13" s="18" t="str">
        <x:v>Ready orders</x:v>
      </x:c>
      <x:c r="C13" s="18" t="str">
        <x:v>Ready units</x:v>
      </x:c>
      <x:c r="D13" s="2"/>
      <x:c r="E13" s="2"/>
      <x:c r="F13" s="2"/>
      <x:c r="G13" s="2"/>
    </x:row>
    <x:row r="14" ht="25" customHeight="1">
      <x:c r="A14" s="2" t="str">
        <x:v>Assembly</x:v>
      </x:c>
      <x:c r="B14" s="17" t="n">
        <x:f>COUNTIFS(Source!E8:E25,A14,Source!F8:F25,"Ready")</x:f>
        <x:v>4</x:v>
      </x:c>
      <x:c r="C14" s="17" t="n">
        <x:f>SUMIFS(Source!G8:G25,Source!E8:E25,A14)</x:f>
        <x:v>32</x:v>
      </x:c>
      <x:c r="D14" s="2"/>
      <x:c r="E14" s="2"/>
      <x:c r="F14" s="2"/>
      <x:c r="G14" s="2"/>
    </x:row>
    <x:row r="15" ht="25" customHeight="1">
      <x:c r="A15" s="2" t="str">
        <x:v>Dispatch</x:v>
      </x:c>
      <x:c r="B15" s="17" t="n">
        <x:f>COUNTIFS(Source!E8:E25,A15,Source!F8:F25,"Ready")</x:f>
        <x:v>3</x:v>
      </x:c>
      <x:c r="C15" s="17" t="n">
        <x:f>SUMIFS(Source!G8:G25,Source!E8:E25,A15)</x:f>
        <x:v>14</x:v>
      </x:c>
      <x:c r="D15" s="2"/>
      <x:c r="E15" s="2"/>
      <x:c r="F15" s="2"/>
      <x:c r="G15" s="2"/>
    </x:row>
    <x:row r="16" ht="25" customHeight="1">
      <x:c r="A16" s="2" t="str">
        <x:v>Packing</x:v>
      </x:c>
      <x:c r="B16" s="17" t="n">
        <x:f>COUNTIFS(Source!E8:E25,A16,Source!F8:F25,"Ready")</x:f>
        <x:v>5</x:v>
      </x:c>
      <x:c r="C16" s="17" t="n">
        <x:f>SUMIFS(Source!G8:G25,Source!E8:E25,A16)</x:f>
        <x:v>31</x:v>
      </x:c>
      <x:c r="D16" s="2"/>
      <x:c r="E16" s="2"/>
      <x:c r="F16" s="2"/>
      <x:c r="G16" s="2"/>
    </x:row>
    <x:row r="17" ht="25" customHeight="1">
      <x:c r="A17" s="2"/>
      <x:c r="B17" s="2"/>
      <x:c r="C17" s="2"/>
      <x:c r="D17" s="2"/>
      <x:c r="E17" s="2"/>
      <x:c r="F17" s="2"/>
      <x:c r="G17" s="2"/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25" customHeight="1">
      <x:c r="A19" s="12" t="str">
        <x:v>REVIEW POLICY</x:v>
      </x:c>
      <x:c r="B19" s="2"/>
      <x:c r="C19" s="2"/>
      <x:c r="D19" s="2"/>
      <x:c r="E19" s="2"/>
      <x:c r="F19" s="2"/>
      <x:c r="G19" s="2"/>
    </x:row>
    <x:row r="20" ht="25" customHeight="1">
      <x:c r="A20" s="2" t="str">
        <x:v>Duplicate IDs: exclude every occurrence until the owner resolves the conflict.</x:v>
      </x:c>
      <x:c r="B20" s="2"/>
      <x:c r="C20" s="2"/>
      <x:c r="D20" s="2"/>
      <x:c r="E20" s="2"/>
      <x:c r="F20" s="2"/>
      <x:c r="G20" s="2"/>
    </x:row>
    <x:row r="21" ht="25" customHeight="1">
      <x:c r="A21" s="2" t="str">
        <x:v>Units must be a positive whole number. Missing values are never filled with zero.</x:v>
      </x:c>
      <x:c r="B21" s="2"/>
      <x:c r="C21" s="2"/>
      <x:c r="D21" s="2"/>
      <x:c r="E21" s="2"/>
      <x:c r="F21" s="2"/>
      <x:c r="G21" s="2"/>
    </x:row>
    <x:row r="22" ht="25" customHeight="1">
      <x:c r="A22" s="2" t="str">
        <x:v>Allowed teams: Assembly, Dispatch, Packing. ID/team spaces and case normalize.</x:v>
      </x:c>
      <x:c r="B22" s="2"/>
      <x:c r="C22" s="2"/>
      <x:c r="D22" s="2"/>
      <x:c r="E22" s="2"/>
      <x:c r="F22" s="2"/>
      <x:c r="G22" s="2"/>
    </x:row>
    <x:row r="23" ht="25" customHeight="1">
      <x:c r="A23" s="2"/>
      <x:c r="B23" s="2"/>
      <x:c r="C23" s="2"/>
      <x:c r="D23" s="2"/>
      <x:c r="E23" s="2"/>
      <x:c r="F23" s="2"/>
      <x:c r="G23" s="2"/>
    </x:row>
    <x:row r="24" ht="25" customHeight="1">
      <x:c r="A24" s="2" t="str">
        <x:v>Scope: fixed 18-row sample. Extend formula and summary ranges for additional rows.</x:v>
      </x:c>
      <x:c r="B24" s="2"/>
      <x:c r="C24" s="2"/>
      <x:c r="D24" s="2"/>
      <x:c r="E24" s="2"/>
      <x:c r="F24" s="2"/>
      <x:c r="G24" s="2"/>
    </x:row>
    <x:row r="25" ht="25" customHeight="1">
      <x:c r="A25" s="2"/>
      <x:c r="B25" s="2"/>
      <x:c r="C25" s="2"/>
      <x:c r="D25" s="2"/>
      <x:c r="E25" s="2"/>
      <x:c r="F25" s="2"/>
      <x:c r="G25" s="2"/>
    </x:row>
    <x:row r="26" ht="25" customHeight="1">
      <x:c r="A26" s="2" t="str">
        <x:v>Expected baseline: 18 source rows / 12 ready / 6 review / 77 ready units.</x:v>
      </x:c>
      <x:c r="B26" s="2"/>
      <x:c r="C26" s="2"/>
      <x:c r="D26" s="2"/>
      <x:c r="E26" s="2"/>
      <x:c r="F26" s="2"/>
      <x:c r="G26" s="2"/>
    </x:row>
    <x:row r="27" ht="25" customHeight="1">
      <x:c r="A27" s="2"/>
      <x:c r="B27" s="2"/>
      <x:c r="C27" s="2"/>
      <x:c r="D27" s="2"/>
      <x:c r="E27" s="2"/>
      <x:c r="F27" s="2"/>
      <x:c r="G27" s="2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  <x:row r="30" ht="25" customHeight="1">
      <x:c r="A30" s="2"/>
      <x:c r="B30" s="2"/>
      <x:c r="C30" s="2"/>
      <x:c r="D30" s="2"/>
      <x:c r="E30" s="2"/>
      <x:c r="F30" s="2"/>
      <x:c r="G30" s="2"/>
    </x:row>
  </x:sheetData>
  <x:conditionalFormatting sqref="C8:C8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Source / preserve, normalize, review</x:v>
      </x:c>
      <x:c r="B2" s="3"/>
      <x:c r="C2" s="3"/>
      <x:c r="D2" s="3"/>
      <x:c r="E2" s="3"/>
      <x:c r="F2" s="3"/>
      <x:c r="G2" s="3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SYNTHETIC INPUT  |  Amber cells are editable originals; D:G are live formulas.</x:v>
      </x:c>
      <x:c r="B4" s="2"/>
      <x:c r="C4" s="2"/>
      <x:c r="D4" s="2"/>
      <x:c r="E4" s="2"/>
      <x:c r="F4" s="2"/>
      <x:c r="G4" s="2"/>
    </x:row>
    <x:row r="5" ht="25" customHeight="1">
      <x:c r="A5" s="2" t="str">
        <x:v>First applicable reason is shown. Correct it to reveal any additional issue.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25" customHeight="1">
      <x:c r="A7" s="7" t="str">
        <x:v>Original ID</x:v>
      </x:c>
      <x:c r="B7" s="7" t="str">
        <x:v>Original team</x:v>
      </x:c>
      <x:c r="C7" s="7" t="str">
        <x:v>Original units</x:v>
      </x:c>
      <x:c r="D7" s="7" t="str">
        <x:v>Normalized ID</x:v>
      </x:c>
      <x:c r="E7" s="7" t="str">
        <x:v>Normalized team</x:v>
      </x:c>
      <x:c r="F7" s="7" t="str">
        <x:v>Review result</x:v>
      </x:c>
      <x:c r="G7" s="7" t="str">
        <x:v>Ready units</x:v>
      </x:c>
    </x:row>
    <x:row r="8" ht="25" customHeight="1">
      <x:c r="A8" s="25" t="str">
        <x:v>ORD-1001</x:v>
      </x:c>
      <x:c r="B8" s="25" t="str">
        <x:v>Packing</x:v>
      </x:c>
      <x:c r="C8" s="23" t="n">
        <x:v>6</x:v>
      </x:c>
      <x:c r="D8" s="20" t="str">
        <x:f>UPPER(TRIM(A8))</x:f>
        <x:v>ORD-1001</x:v>
      </x:c>
      <x:c r="E8" s="20" t="str">
        <x:f>PROPER(TRIM(B8))</x:f>
        <x:v>Packing</x:v>
      </x:c>
      <x:c r="F8" s="20" t="str">
        <x:f>IF(D8="","Missing ID",IF(COUNTIF($D$8:$D$25,D8)&gt;1,"Duplicate ID",IF(NOT(OR(E8="Assembly",E8="Dispatch",E8="Packing")),"Unknown team",IF(NOT(ISNUMBER(C8)),"Missing/text units",IF(OR(C8&lt;=0,MOD(C8,1)&lt;&gt;0),"Invalid units","Ready")))))</x:f>
        <x:v>Ready</x:v>
      </x:c>
      <x:c r="G8" s="24" t="n">
        <x:f>IF(F8="Ready",C8,0)</x:f>
        <x:v>6</x:v>
      </x:c>
    </x:row>
    <x:row r="9" ht="25" customHeight="1">
      <x:c r="A9" s="25" t="str">
        <x:v> ORD-1002 </x:v>
      </x:c>
      <x:c r="B9" s="25" t="str">
        <x:v>Assembly</x:v>
      </x:c>
      <x:c r="C9" s="23" t="n">
        <x:v>12</x:v>
      </x:c>
      <x:c r="D9" s="20" t="str">
        <x:f>UPPER(TRIM(A9))</x:f>
        <x:v>ORD-1002</x:v>
      </x:c>
      <x:c r="E9" s="20" t="str">
        <x:f>PROPER(TRIM(B9))</x:f>
        <x:v>Assembly</x:v>
      </x:c>
      <x:c r="F9" s="20" t="str">
        <x:f>IF(D9="","Missing ID",IF(COUNTIF($D$8:$D$25,D9)&gt;1,"Duplicate ID",IF(NOT(OR(E9="Assembly",E9="Dispatch",E9="Packing")),"Unknown team",IF(NOT(ISNUMBER(C9)),"Missing/text units",IF(OR(C9&lt;=0,MOD(C9,1)&lt;&gt;0),"Invalid units","Ready")))))</x:f>
        <x:v>Ready</x:v>
      </x:c>
      <x:c r="G9" s="24" t="n">
        <x:f>IF(F9="Ready",C9,0)</x:f>
        <x:v>12</x:v>
      </x:c>
    </x:row>
    <x:row r="10" ht="25" customHeight="1">
      <x:c r="A10" s="25" t="str">
        <x:v>ORD-1003</x:v>
      </x:c>
      <x:c r="B10" s="25" t="str">
        <x:v> dispatch </x:v>
      </x:c>
      <x:c r="C10" s="23" t="n">
        <x:v>4</x:v>
      </x:c>
      <x:c r="D10" s="20" t="str">
        <x:f>UPPER(TRIM(A10))</x:f>
        <x:v>ORD-1003</x:v>
      </x:c>
      <x:c r="E10" s="20" t="str">
        <x:f>PROPER(TRIM(B10))</x:f>
        <x:v>Dispatch</x:v>
      </x:c>
      <x:c r="F10" s="20" t="str">
        <x:f>IF(D10="","Missing ID",IF(COUNTIF($D$8:$D$25,D10)&gt;1,"Duplicate ID",IF(NOT(OR(E10="Assembly",E10="Dispatch",E10="Packing")),"Unknown team",IF(NOT(ISNUMBER(C10)),"Missing/text units",IF(OR(C10&lt;=0,MOD(C10,1)&lt;&gt;0),"Invalid units","Ready")))))</x:f>
        <x:v>Ready</x:v>
      </x:c>
      <x:c r="G10" s="24" t="n">
        <x:f>IF(F10="Ready",C10,0)</x:f>
        <x:v>4</x:v>
      </x:c>
    </x:row>
    <x:row r="11" ht="25" customHeight="1">
      <x:c r="A11" s="25" t="str">
        <x:v>ORD-1004</x:v>
      </x:c>
      <x:c r="B11" s="25" t="str">
        <x:v>Packing</x:v>
      </x:c>
      <x:c r="C11" s="23" t="n">
        <x:v>8</x:v>
      </x:c>
      <x:c r="D11" s="20" t="str">
        <x:f>UPPER(TRIM(A11))</x:f>
        <x:v>ORD-1004</x:v>
      </x:c>
      <x:c r="E11" s="20" t="str">
        <x:f>PROPER(TRIM(B11))</x:f>
        <x:v>Packing</x:v>
      </x:c>
      <x:c r="F11" s="20" t="str">
        <x:f>IF(D11="","Missing ID",IF(COUNTIF($D$8:$D$25,D11)&gt;1,"Duplicate ID",IF(NOT(OR(E11="Assembly",E11="Dispatch",E11="Packing")),"Unknown team",IF(NOT(ISNUMBER(C11)),"Missing/text units",IF(OR(C11&lt;=0,MOD(C11,1)&lt;&gt;0),"Invalid units","Ready")))))</x:f>
        <x:v>Ready</x:v>
      </x:c>
      <x:c r="G11" s="24" t="n">
        <x:f>IF(F11="Ready",C11,0)</x:f>
        <x:v>8</x:v>
      </x:c>
    </x:row>
    <x:row r="12" ht="25" customHeight="1">
      <x:c r="A12" s="25" t="str">
        <x:v>ORD-1005</x:v>
      </x:c>
      <x:c r="B12" s="25" t="str">
        <x:v>Assembly</x:v>
      </x:c>
      <x:c r="C12" s="23" t="n">
        <x:v>5</x:v>
      </x:c>
      <x:c r="D12" s="20" t="str">
        <x:f>UPPER(TRIM(A12))</x:f>
        <x:v>ORD-1005</x:v>
      </x:c>
      <x:c r="E12" s="20" t="str">
        <x:f>PROPER(TRIM(B12))</x:f>
        <x:v>Assembly</x:v>
      </x:c>
      <x:c r="F12" s="20" t="str">
        <x:f>IF(D12="","Missing ID",IF(COUNTIF($D$8:$D$25,D12)&gt;1,"Duplicate ID",IF(NOT(OR(E12="Assembly",E12="Dispatch",E12="Packing")),"Unknown team",IF(NOT(ISNUMBER(C12)),"Missing/text units",IF(OR(C12&lt;=0,MOD(C12,1)&lt;&gt;0),"Invalid units","Ready")))))</x:f>
        <x:v>Ready</x:v>
      </x:c>
      <x:c r="G12" s="24" t="n">
        <x:f>IF(F12="Ready",C12,0)</x:f>
        <x:v>5</x:v>
      </x:c>
    </x:row>
    <x:row r="13" ht="25" customHeight="1">
      <x:c r="A13" s="25" t="str">
        <x:v>ORD-1006</x:v>
      </x:c>
      <x:c r="B13" s="25" t="str">
        <x:v>Dispatch</x:v>
      </x:c>
      <x:c r="C13" s="23" t="n">
        <x:v>7</x:v>
      </x:c>
      <x:c r="D13" s="20" t="str">
        <x:f>UPPER(TRIM(A13))</x:f>
        <x:v>ORD-1006</x:v>
      </x:c>
      <x:c r="E13" s="20" t="str">
        <x:f>PROPER(TRIM(B13))</x:f>
        <x:v>Dispatch</x:v>
      </x:c>
      <x:c r="F13" s="20" t="str">
        <x:f>IF(D13="","Missing ID",IF(COUNTIF($D$8:$D$25,D13)&gt;1,"Duplicate ID",IF(NOT(OR(E13="Assembly",E13="Dispatch",E13="Packing")),"Unknown team",IF(NOT(ISNUMBER(C13)),"Missing/text units",IF(OR(C13&lt;=0,MOD(C13,1)&lt;&gt;0),"Invalid units","Ready")))))</x:f>
        <x:v>Duplicate ID</x:v>
      </x:c>
      <x:c r="G13" s="24" t="n">
        <x:f>IF(F13="Ready",C13,0)</x:f>
        <x:v>0</x:v>
      </x:c>
    </x:row>
    <x:row r="14" ht="25" customHeight="1">
      <x:c r="A14" s="25" t="str">
        <x:v>ORD-1007</x:v>
      </x:c>
      <x:c r="B14" s="25" t="str">
        <x:v>Packing</x:v>
      </x:c>
      <x:c r="C14" s="23" t="n">
        <x:v>3</x:v>
      </x:c>
      <x:c r="D14" s="20" t="str">
        <x:f>UPPER(TRIM(A14))</x:f>
        <x:v>ORD-1007</x:v>
      </x:c>
      <x:c r="E14" s="20" t="str">
        <x:f>PROPER(TRIM(B14))</x:f>
        <x:v>Packing</x:v>
      </x:c>
      <x:c r="F14" s="20" t="str">
        <x:f>IF(D14="","Missing ID",IF(COUNTIF($D$8:$D$25,D14)&gt;1,"Duplicate ID",IF(NOT(OR(E14="Assembly",E14="Dispatch",E14="Packing")),"Unknown team",IF(NOT(ISNUMBER(C14)),"Missing/text units",IF(OR(C14&lt;=0,MOD(C14,1)&lt;&gt;0),"Invalid units","Ready")))))</x:f>
        <x:v>Ready</x:v>
      </x:c>
      <x:c r="G14" s="24" t="n">
        <x:f>IF(F14="Ready",C14,0)</x:f>
        <x:v>3</x:v>
      </x:c>
    </x:row>
    <x:row r="15" ht="25" customHeight="1">
      <x:c r="A15" s="25" t="str">
        <x:v>ORD-1008</x:v>
      </x:c>
      <x:c r="B15" s="25" t="str">
        <x:v>Assembly</x:v>
      </x:c>
      <x:c r="C15" s="23" t="n">
        <x:v>9</x:v>
      </x:c>
      <x:c r="D15" s="20" t="str">
        <x:f>UPPER(TRIM(A15))</x:f>
        <x:v>ORD-1008</x:v>
      </x:c>
      <x:c r="E15" s="20" t="str">
        <x:f>PROPER(TRIM(B15))</x:f>
        <x:v>Assembly</x:v>
      </x:c>
      <x:c r="F15" s="20" t="str">
        <x:f>IF(D15="","Missing ID",IF(COUNTIF($D$8:$D$25,D15)&gt;1,"Duplicate ID",IF(NOT(OR(E15="Assembly",E15="Dispatch",E15="Packing")),"Unknown team",IF(NOT(ISNUMBER(C15)),"Missing/text units",IF(OR(C15&lt;=0,MOD(C15,1)&lt;&gt;0),"Invalid units","Ready")))))</x:f>
        <x:v>Ready</x:v>
      </x:c>
      <x:c r="G15" s="24" t="n">
        <x:f>IF(F15="Ready",C15,0)</x:f>
        <x:v>9</x:v>
      </x:c>
    </x:row>
    <x:row r="16" ht="25" customHeight="1">
      <x:c r="A16" s="25" t="str">
        <x:v>ORD-1009</x:v>
      </x:c>
      <x:c r="B16" s="25" t="str">
        <x:v>Dispatch</x:v>
      </x:c>
      <x:c r="C16" s="23" t="n">
        <x:v>2</x:v>
      </x:c>
      <x:c r="D16" s="20" t="str">
        <x:f>UPPER(TRIM(A16))</x:f>
        <x:v>ORD-1009</x:v>
      </x:c>
      <x:c r="E16" s="20" t="str">
        <x:f>PROPER(TRIM(B16))</x:f>
        <x:v>Dispatch</x:v>
      </x:c>
      <x:c r="F16" s="20" t="str">
        <x:f>IF(D16="","Missing ID",IF(COUNTIF($D$8:$D$25,D16)&gt;1,"Duplicate ID",IF(NOT(OR(E16="Assembly",E16="Dispatch",E16="Packing")),"Unknown team",IF(NOT(ISNUMBER(C16)),"Missing/text units",IF(OR(C16&lt;=0,MOD(C16,1)&lt;&gt;0),"Invalid units","Ready")))))</x:f>
        <x:v>Ready</x:v>
      </x:c>
      <x:c r="G16" s="24" t="n">
        <x:f>IF(F16="Ready",C16,0)</x:f>
        <x:v>2</x:v>
      </x:c>
    </x:row>
    <x:row r="17" ht="25" customHeight="1">
      <x:c r="A17" s="25" t="str">
        <x:v>ORD-1010</x:v>
      </x:c>
      <x:c r="B17" s="25" t="str">
        <x:v>Packing</x:v>
      </x:c>
      <x:c r="C17" s="23" t="n">
        <x:v>10</x:v>
      </x:c>
      <x:c r="D17" s="20" t="str">
        <x:f>UPPER(TRIM(A17))</x:f>
        <x:v>ORD-1010</x:v>
      </x:c>
      <x:c r="E17" s="20" t="str">
        <x:f>PROPER(TRIM(B17))</x:f>
        <x:v>Packing</x:v>
      </x:c>
      <x:c r="F17" s="20" t="str">
        <x:f>IF(D17="","Missing ID",IF(COUNTIF($D$8:$D$25,D17)&gt;1,"Duplicate ID",IF(NOT(OR(E17="Assembly",E17="Dispatch",E17="Packing")),"Unknown team",IF(NOT(ISNUMBER(C17)),"Missing/text units",IF(OR(C17&lt;=0,MOD(C17,1)&lt;&gt;0),"Invalid units","Ready")))))</x:f>
        <x:v>Ready</x:v>
      </x:c>
      <x:c r="G17" s="24" t="n">
        <x:f>IF(F17="Ready",C17,0)</x:f>
        <x:v>10</x:v>
      </x:c>
    </x:row>
    <x:row r="18" ht="25" customHeight="1">
      <x:c r="A18" s="25" t="str">
        <x:v>ORD-1011</x:v>
      </x:c>
      <x:c r="B18" s="25" t="str">
        <x:v>Assembly</x:v>
      </x:c>
      <x:c r="C18" s="23" t="n">
        <x:v>6</x:v>
      </x:c>
      <x:c r="D18" s="20" t="str">
        <x:f>UPPER(TRIM(A18))</x:f>
        <x:v>ORD-1011</x:v>
      </x:c>
      <x:c r="E18" s="20" t="str">
        <x:f>PROPER(TRIM(B18))</x:f>
        <x:v>Assembly</x:v>
      </x:c>
      <x:c r="F18" s="20" t="str">
        <x:f>IF(D18="","Missing ID",IF(COUNTIF($D$8:$D$25,D18)&gt;1,"Duplicate ID",IF(NOT(OR(E18="Assembly",E18="Dispatch",E18="Packing")),"Unknown team",IF(NOT(ISNUMBER(C18)),"Missing/text units",IF(OR(C18&lt;=0,MOD(C18,1)&lt;&gt;0),"Invalid units","Ready")))))</x:f>
        <x:v>Ready</x:v>
      </x:c>
      <x:c r="G18" s="24" t="n">
        <x:f>IF(F18="Ready",C18,0)</x:f>
        <x:v>6</x:v>
      </x:c>
    </x:row>
    <x:row r="19" ht="25" customHeight="1">
      <x:c r="A19" s="25" t="str">
        <x:v>ORD-1012</x:v>
      </x:c>
      <x:c r="B19" s="25" t="str">
        <x:v>Dispatch</x:v>
      </x:c>
      <x:c r="C19" s="23" t="n">
        <x:v>8</x:v>
      </x:c>
      <x:c r="D19" s="20" t="str">
        <x:f>UPPER(TRIM(A19))</x:f>
        <x:v>ORD-1012</x:v>
      </x:c>
      <x:c r="E19" s="20" t="str">
        <x:f>PROPER(TRIM(B19))</x:f>
        <x:v>Dispatch</x:v>
      </x:c>
      <x:c r="F19" s="20" t="str">
        <x:f>IF(D19="","Missing ID",IF(COUNTIF($D$8:$D$25,D19)&gt;1,"Duplicate ID",IF(NOT(OR(E19="Assembly",E19="Dispatch",E19="Packing")),"Unknown team",IF(NOT(ISNUMBER(C19)),"Missing/text units",IF(OR(C19&lt;=0,MOD(C19,1)&lt;&gt;0),"Invalid units","Ready")))))</x:f>
        <x:v>Ready</x:v>
      </x:c>
      <x:c r="G19" s="24" t="n">
        <x:f>IF(F19="Ready",C19,0)</x:f>
        <x:v>8</x:v>
      </x:c>
    </x:row>
    <x:row r="20" ht="25" customHeight="1">
      <x:c r="A20" s="25" t="str">
        <x:v>ORD-1013</x:v>
      </x:c>
      <x:c r="B20" s="25" t="str">
        <x:v>Packing</x:v>
      </x:c>
      <x:c r="C20" s="23" t="n">
        <x:v>4</x:v>
      </x:c>
      <x:c r="D20" s="20" t="str">
        <x:f>UPPER(TRIM(A20))</x:f>
        <x:v>ORD-1013</x:v>
      </x:c>
      <x:c r="E20" s="20" t="str">
        <x:f>PROPER(TRIM(B20))</x:f>
        <x:v>Packing</x:v>
      </x:c>
      <x:c r="F20" s="20" t="str">
        <x:f>IF(D20="","Missing ID",IF(COUNTIF($D$8:$D$25,D20)&gt;1,"Duplicate ID",IF(NOT(OR(E20="Assembly",E20="Dispatch",E20="Packing")),"Unknown team",IF(NOT(ISNUMBER(C20)),"Missing/text units",IF(OR(C20&lt;=0,MOD(C20,1)&lt;&gt;0),"Invalid units","Ready")))))</x:f>
        <x:v>Ready</x:v>
      </x:c>
      <x:c r="G20" s="24" t="n">
        <x:f>IF(F20="Ready",C20,0)</x:f>
        <x:v>4</x:v>
      </x:c>
    </x:row>
    <x:row r="21" ht="25" customHeight="1">
      <x:c r="A21" s="25" t="str">
        <x:v> ord-1006 </x:v>
      </x:c>
      <x:c r="B21" s="25" t="str">
        <x:v>Dispatch</x:v>
      </x:c>
      <x:c r="C21" s="23" t="n">
        <x:v>7</x:v>
      </x:c>
      <x:c r="D21" s="20" t="str">
        <x:f>UPPER(TRIM(A21))</x:f>
        <x:v>ORD-1006</x:v>
      </x:c>
      <x:c r="E21" s="20" t="str">
        <x:f>PROPER(TRIM(B21))</x:f>
        <x:v>Dispatch</x:v>
      </x:c>
      <x:c r="F21" s="20" t="str">
        <x:f>IF(D21="","Missing ID",IF(COUNTIF($D$8:$D$25,D21)&gt;1,"Duplicate ID",IF(NOT(OR(E21="Assembly",E21="Dispatch",E21="Packing")),"Unknown team",IF(NOT(ISNUMBER(C21)),"Missing/text units",IF(OR(C21&lt;=0,MOD(C21,1)&lt;&gt;0),"Invalid units","Ready")))))</x:f>
        <x:v>Duplicate ID</x:v>
      </x:c>
      <x:c r="G21" s="24" t="n">
        <x:f>IF(F21="Ready",C21,0)</x:f>
        <x:v>0</x:v>
      </x:c>
    </x:row>
    <x:row r="22" ht="25" customHeight="1">
      <x:c r="A22" s="25" t="str">
        <x:v>ORD-1015</x:v>
      </x:c>
      <x:c r="B22" s="25" t="str">
        <x:v>Assembly</x:v>
      </x:c>
      <x:c r="C22" s="23"/>
      <x:c r="D22" s="20" t="str">
        <x:f>UPPER(TRIM(A22))</x:f>
        <x:v>ORD-1015</x:v>
      </x:c>
      <x:c r="E22" s="20" t="str">
        <x:f>PROPER(TRIM(B22))</x:f>
        <x:v>Assembly</x:v>
      </x:c>
      <x:c r="F22" s="20" t="str">
        <x:f>IF(D22="","Missing ID",IF(COUNTIF($D$8:$D$25,D22)&gt;1,"Duplicate ID",IF(NOT(OR(E22="Assembly",E22="Dispatch",E22="Packing")),"Unknown team",IF(NOT(ISNUMBER(C22)),"Missing/text units",IF(OR(C22&lt;=0,MOD(C22,1)&lt;&gt;0),"Invalid units","Ready")))))</x:f>
        <x:v>Missing/text units</x:v>
      </x:c>
      <x:c r="G22" s="24" t="n">
        <x:f>IF(F22="Ready",C22,0)</x:f>
        <x:v>0</x:v>
      </x:c>
    </x:row>
    <x:row r="23" ht="25" customHeight="1">
      <x:c r="A23" s="25" t="str">
        <x:v>ORD-1016</x:v>
      </x:c>
      <x:c r="B23" s="25" t="str">
        <x:v>Dispatch</x:v>
      </x:c>
      <x:c r="C23" s="23" t="n">
        <x:v>-2</x:v>
      </x:c>
      <x:c r="D23" s="20" t="str">
        <x:f>UPPER(TRIM(A23))</x:f>
        <x:v>ORD-1016</x:v>
      </x:c>
      <x:c r="E23" s="20" t="str">
        <x:f>PROPER(TRIM(B23))</x:f>
        <x:v>Dispatch</x:v>
      </x:c>
      <x:c r="F23" s="20" t="str">
        <x:f>IF(D23="","Missing ID",IF(COUNTIF($D$8:$D$25,D23)&gt;1,"Duplicate ID",IF(NOT(OR(E23="Assembly",E23="Dispatch",E23="Packing")),"Unknown team",IF(NOT(ISNUMBER(C23)),"Missing/text units",IF(OR(C23&lt;=0,MOD(C23,1)&lt;&gt;0),"Invalid units","Ready")))))</x:f>
        <x:v>Invalid units</x:v>
      </x:c>
      <x:c r="G23" s="24" t="n">
        <x:f>IF(F23="Ready",C23,0)</x:f>
        <x:v>0</x:v>
      </x:c>
    </x:row>
    <x:row r="24" ht="25" customHeight="1">
      <x:c r="A24" s="25" t="str"/>
      <x:c r="B24" s="25" t="str">
        <x:v>Packing</x:v>
      </x:c>
      <x:c r="C24" s="23" t="n">
        <x:v>5</x:v>
      </x:c>
      <x:c r="D24" s="20" t="str">
        <x:f>UPPER(TRIM(A24))</x:f>
      </x:c>
      <x:c r="E24" s="20" t="str">
        <x:f>PROPER(TRIM(B24))</x:f>
        <x:v>Packing</x:v>
      </x:c>
      <x:c r="F24" s="20" t="str">
        <x:f>IF(D24="","Missing ID",IF(COUNTIF($D$8:$D$25,D24)&gt;1,"Duplicate ID",IF(NOT(OR(E24="Assembly",E24="Dispatch",E24="Packing")),"Unknown team",IF(NOT(ISNUMBER(C24)),"Missing/text units",IF(OR(C24&lt;=0,MOD(C24,1)&lt;&gt;0),"Invalid units","Ready")))))</x:f>
        <x:v>Missing ID</x:v>
      </x:c>
      <x:c r="G24" s="24" t="n">
        <x:f>IF(F24="Ready",C24,0)</x:f>
        <x:v>0</x:v>
      </x:c>
    </x:row>
    <x:row r="25" ht="25" customHeight="1">
      <x:c r="A25" s="25" t="str">
        <x:v>ORD-1018</x:v>
      </x:c>
      <x:c r="B25" s="25" t="str"/>
      <x:c r="C25" s="23" t="n">
        <x:v>3</x:v>
      </x:c>
      <x:c r="D25" s="20" t="str">
        <x:f>UPPER(TRIM(A25))</x:f>
        <x:v>ORD-1018</x:v>
      </x:c>
      <x:c r="E25" s="20" t="str">
        <x:f>PROPER(TRIM(B25))</x:f>
      </x:c>
      <x:c r="F25" s="20" t="str">
        <x:f>IF(D25="","Missing ID",IF(COUNTIF($D$8:$D$25,D25)&gt;1,"Duplicate ID",IF(NOT(OR(E25="Assembly",E25="Dispatch",E25="Packing")),"Unknown team",IF(NOT(ISNUMBER(C25)),"Missing/text units",IF(OR(C25&lt;=0,MOD(C25,1)&lt;&gt;0),"Invalid units","Ready")))))</x:f>
        <x:v>Unknown team</x:v>
      </x:c>
      <x:c r="G25" s="24" t="n">
        <x:f>IF(F25="Ready",C25,0)</x:f>
        <x:v>0</x:v>
      </x:c>
    </x:row>
    <x:row r="26" ht="25" customHeight="1">
      <x:c r="A26" s="2"/>
      <x:c r="B26" s="2"/>
      <x:c r="C26" s="2"/>
      <x:c r="D26" s="2"/>
      <x:c r="E26" s="2"/>
      <x:c r="F26" s="2"/>
      <x:c r="G26" s="2"/>
    </x:row>
    <x:row r="27" ht="25" customHeight="1">
      <x:c r="A27" s="2"/>
      <x:c r="B27" s="2"/>
      <x:c r="C27" s="2"/>
      <x:c r="D27" s="2"/>
      <x:c r="E27" s="2"/>
      <x:c r="F27" s="2"/>
      <x:c r="G27" s="2"/>
    </x:row>
    <x:row r="28" ht="25" customHeight="1">
      <x:c r="A28" s="2" t="str">
        <x:v>No source row is deleted. Ready units = 0 means excluded, not an imputed input.</x:v>
      </x:c>
      <x:c r="B28" s="2"/>
      <x:c r="C28" s="2"/>
      <x:c r="D28" s="2"/>
      <x:c r="E28" s="2"/>
      <x:c r="F28" s="2"/>
      <x:c r="G28" s="2"/>
    </x:row>
    <x:row r="29" ht="25" customHeight="1">
      <x:c r="A29" s="2" t="str">
        <x:v>Example errors are intentional. Resolve duplicates and incomplete inputs before use.</x:v>
      </x:c>
      <x:c r="B29" s="2"/>
      <x:c r="C29" s="2"/>
      <x:c r="D29" s="2"/>
      <x:c r="E29" s="2"/>
      <x:c r="F29" s="2"/>
      <x:c r="G29" s="2"/>
    </x:row>
    <x:row r="30" ht="25" customHeight="1">
      <x:c r="A30" s="2"/>
      <x:c r="B30" s="2"/>
      <x:c r="C30" s="2"/>
      <x:c r="D30" s="2"/>
      <x:c r="E30" s="2"/>
      <x:c r="F30" s="2"/>
      <x:c r="G30" s="2"/>
    </x:row>
  </x:sheetData>
  <x:conditionalFormatting sqref="F8:F25">
    <x:cfRule type="expression" dxfId="1" priority="1">
      <x:formula>F8&lt;&gt;"Ready"</x:formula>
    </x:cfRule>
  </x:conditionalFormatting>
  <x:pageMargins left="0.7" right="0.7" top="0.75" bottom="0.75" header="0.3" footer="0.3"/>
</x:worksheet>
</file>